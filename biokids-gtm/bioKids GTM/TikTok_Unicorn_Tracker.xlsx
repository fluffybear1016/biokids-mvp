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Greg/Documents/"/>
    </mc:Choice>
  </mc:AlternateContent>
  <xr:revisionPtr revIDLastSave="0" documentId="8_{A933AB0E-07AD-854C-8E9D-D13FAD815EC0}" xr6:coauthVersionLast="47" xr6:coauthVersionMax="47" xr10:uidLastSave="{00000000-0000-0000-0000-000000000000}"/>
  <bookViews>
    <workbookView xWindow="0" yWindow="500" windowWidth="33600" windowHeight="20380" tabRatio="500" xr2:uid="{00000000-000D-0000-FFFF-FFFF00000000}"/>
  </bookViews>
  <sheets>
    <sheet name="Unicorn Tracker" sheetId="1" r:id="rId1"/>
    <sheet name="Search Methodology" sheetId="2" r:id="rId2"/>
    <sheet name="Outreach Scripts" sheetId="3" r:id="rId3"/>
    <sheet name="Comment Mining" sheetId="4" r:id="rId4"/>
  </sheets>
  <definedNames>
    <definedName name="_xlnm._FilterDatabase" localSheetId="0" hidden="1">'Unicorn Tracker'!$A$1:$Q$1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<sst xmlns="http://schemas.openxmlformats.org/spreadsheetml/2006/main" count="350" uniqueCount="246">
  <si>
    <t>Handle</t>
  </si>
  <si>
    <t>Name</t>
  </si>
  <si>
    <t>Followers</t>
  </si>
  <si>
    <t>Top Video Views</t>
  </si>
  <si>
    <t>Top Video Likes</t>
  </si>
  <si>
    <t>Comments</t>
  </si>
  <si>
    <t>Saves</t>
  </si>
  <si>
    <t>Views:Follower Ratio</t>
  </si>
  <si>
    <t>Tier</t>
  </si>
  <si>
    <t>Location</t>
  </si>
  <si>
    <t>Content Focus</t>
  </si>
  <si>
    <t>Already Promotes Vendor?</t>
  </si>
  <si>
    <t>Profile URL</t>
  </si>
  <si>
    <t>Viral Video URL</t>
  </si>
  <si>
    <t>Contact / Bio Link</t>
  </si>
  <si>
    <t>Outreach Status</t>
  </si>
  <si>
    <t>Notes</t>
  </si>
  <si>
    <t>@amandac_glp</t>
  </si>
  <si>
    <t>Amanda C</t>
  </si>
  <si>
    <t>N/A</t>
  </si>
  <si>
    <t>TRUE UNICORN</t>
  </si>
  <si>
    <t>Unknown (US)</t>
  </si>
  <si>
    <t>GLP-1 journey, grey market, peptide education</t>
  </si>
  <si>
    <t>YES — mentions @Primal King vendor</t>
  </si>
  <si>
    <t>https://www.tiktok.com/@amandac_glp</t>
  </si>
  <si>
    <t>leahbron/amandacglp backup</t>
  </si>
  <si>
    <t>New Lead</t>
  </si>
  <si>
    <t>100% peptide-focused account. Handle IS "glp." Mom documenting her journey. Already has vendor but could be replaced. Grey market content = price-sensitive audience.</t>
  </si>
  <si>
    <t>@peptideparty</t>
  </si>
  <si>
    <t>Charles</t>
  </si>
  <si>
    <t>NEAR UNICORN</t>
  </si>
  <si>
    <t>GLP-1, BPC-157, GHK-Cu, CJC/Ipa, TRT, bloodwork</t>
  </si>
  <si>
    <t>YES — "Vendor I Trust" in bio + beacons.page link</t>
  </si>
  <si>
    <t>https://www.tiktok.com/@peptideparty</t>
  </si>
  <si>
    <t>beacons.page/peptideparty</t>
  </si>
  <si>
    <t>PRIME TARGET. Lost 120 lbs on GLP. 100% peptide content. Already has vendor link = proven seller. Videos consistently 2-5x his follower count. Physician credibility would upgrade him.</t>
  </si>
  <si>
    <t>@florida_regenerative</t>
  </si>
  <si>
    <t>Florida Regenerative</t>
  </si>
  <si>
    <t>Tampa, FL</t>
  </si>
  <si>
    <t>BPC-157, PRP, stem cells, weight loss, regenerative medicine</t>
  </si>
  <si>
    <t>YES — own practice (Floridaregenerative.com)</t>
  </si>
  <si>
    <t>https://www.tiktok.com/@florida_regenerative</t>
  </si>
  <si>
    <t>https://www.tiktok.com/@florida_regenerative/video/7514456942308363566</t>
  </si>
  <si>
    <t>Floridaregenerative.com</t>
  </si>
  <si>
    <t>INSANE ratio: 984K views on 8K followers = 121x. Tampa FL practice. BPC-157 video went mega-viral. Could be a B2B buyer AND affiliate partner simultaneously.</t>
  </si>
  <si>
    <t>@filmedwithvictoria</t>
  </si>
  <si>
    <t>Victoria Senger</t>
  </si>
  <si>
    <t>STRONG PROSPECT</t>
  </si>
  <si>
    <t>Unknown (links to SoFL)</t>
  </si>
  <si>
    <t>Biohacking, neuroscience, peptides, UGC</t>
  </si>
  <si>
    <t>YES — promotes monelan.us via @ibrahim zaman</t>
  </si>
  <si>
    <t>https://www.tiktok.com/@filmedwithvictoria</t>
  </si>
  <si>
    <t>https://www.tiktok.com/@filmedwithvictoria/video/7612710241213451550</t>
  </si>
  <si>
    <t>linktr.ee/victoriasenger | leahbron.collabs@gmail.com</t>
  </si>
  <si>
    <t>1.5M and 1.4M view videos on 11K followers = 136x ratio. Biohacking + neuroscience niche. Already promoting peptide vendor (monelan.us) but video only 3 days old. MOVE FAST.</t>
  </si>
  <si>
    <t>@alittlebitofadri</t>
  </si>
  <si>
    <t>Adri</t>
  </si>
  <si>
    <t>Orlando, FL</t>
  </si>
  <si>
    <t>Mom influencer, wellness, peptides (new to peptides)</t>
  </si>
  <si>
    <t>NO — says "everyone is dming me sketchy peptides"</t>
  </si>
  <si>
    <t>https://www.tiktok.com/@alittlebitofadri</t>
  </si>
  <si>
    <t>https://www.tiktok.com/@alittlebitofadri/video/7612062715967851807</t>
  </si>
  <si>
    <t>alittlebitofadri@gmail.com</t>
  </si>
  <si>
    <t>URGENT. Her peptide video (4 days old) has 13.4K likes, 1,784 comments. She LITERALLY said in comments "everyone is dming me selling sketchy peptides. Not what I wanted." She is LOOKING for a credible source. Your physician credibility = perfect fit. Orlando FL.</t>
  </si>
  <si>
    <t>@yanaa.odz</t>
  </si>
  <si>
    <t>Yana</t>
  </si>
  <si>
    <t>GOOD PROSPECT</t>
  </si>
  <si>
    <t>Miami, FL</t>
  </si>
  <si>
    <t>Wellness, healthy recipes, beauty, peptides (new)</t>
  </si>
  <si>
    <t>NO — tagged Dr. Mark Dukshtein for consult</t>
  </si>
  <si>
    <t>https://www.tiktok.com/@yanaa.odz</t>
  </si>
  <si>
    <t>https://www.tiktok.com/@yanaa.odz/video/7612421154426326302</t>
  </si>
  <si>
    <t>beyondtestkitchen.com</t>
  </si>
  <si>
    <t>Miami-based. Peptide video posted 3 days ago getting traction. Comments asking for sources. Her OTHER videos get 7.8M views = massive reach. If she posts your peptides, it goes nuclear.</t>
  </si>
  <si>
    <t>@leah.bron</t>
  </si>
  <si>
    <t>Leah Bron</t>
  </si>
  <si>
    <t>South FL (Coral Springs)</t>
  </si>
  <si>
    <t>Health &amp; wellness, peptides, beauty</t>
  </si>
  <si>
    <t>YES — code LEAH15, linktree, collabs email</t>
  </si>
  <si>
    <t>https://www.tiktok.com/@leah.bron</t>
  </si>
  <si>
    <t>https://www.tiktok.com/@leah.bron/video/7605423767757671711</t>
  </si>
  <si>
    <t>leahbron.collabs@gmail.com | linktr.ee/leahbron</t>
  </si>
  <si>
    <t>South FL native. Gets peptides at Aayu Esthetics in Coral Springs. Already has affiliate code. Comments full of "where do you get them?" questions. Could switch vendors for better deal.</t>
  </si>
  <si>
    <t>@topplasticsurgery</t>
  </si>
  <si>
    <t>Top Plastic Surgery</t>
  </si>
  <si>
    <t>B2B HYBRID</t>
  </si>
  <si>
    <t>Plastic surgery, semaglutide, aesthetics (Spanish-language)</t>
  </si>
  <si>
    <t>Own practice — promos.topplasticsurgerymiami.com</t>
  </si>
  <si>
    <t>https://www.tiktok.com/@topplasticsurgery</t>
  </si>
  <si>
    <t>https://www.tiktok.com/@topplasticsurgery/video/7554931631530839326</t>
  </si>
  <si>
    <t>promos.topplasticsurgerymiami.com</t>
  </si>
  <si>
    <t>Miami plastic surgery clinic. Semaglutide content in Spanish = untapped SoFL Hispanic market. 20.6K likes, 788 comments. Could be both B2B buyer and content partner.</t>
  </si>
  <si>
    <t>@icelynodette</t>
  </si>
  <si>
    <t>Icelynodette</t>
  </si>
  <si>
    <t>UNKNOWN</t>
  </si>
  <si>
    <t>WATCH LIST</t>
  </si>
  <si>
    <t>Florida</t>
  </si>
  <si>
    <t>Peptide journey (new)</t>
  </si>
  <si>
    <t>Unknown</t>
  </si>
  <si>
    <t>https://www.tiktok.com/@icelynodette</t>
  </si>
  <si>
    <t>Tiny account, Florida-based, peptide journey content. Monitor for viral breakout.</t>
  </si>
  <si>
    <t>@missdenise51</t>
  </si>
  <si>
    <t>Miss Denise</t>
  </si>
  <si>
    <t>Peptide journey</t>
  </si>
  <si>
    <t>https://www.tiktok.com/@missdenise51</t>
  </si>
  <si>
    <t>Small account documenting peptide journey. 41 likes but could break out.</t>
  </si>
  <si>
    <t>@callmekt1</t>
  </si>
  <si>
    <t>KT</t>
  </si>
  <si>
    <t>https://www.tiktok.com/@callmekt1</t>
  </si>
  <si>
    <t>"Join me on this journey" — personal peptide journey content. Monitor.</t>
  </si>
  <si>
    <t>@rebel.health</t>
  </si>
  <si>
    <t>Rebel Health</t>
  </si>
  <si>
    <t>Peptide therapy, wellness</t>
  </si>
  <si>
    <t>https://www.tiktok.com/@rebel.health</t>
  </si>
  <si>
    <t>Tagged #fyp #tampa — Florida based. Small peptide content. Monitor.</t>
  </si>
  <si>
    <t>@fancyphysi...</t>
  </si>
  <si>
    <t>Fancy Physique</t>
  </si>
  <si>
    <t>Unknown (possibly FL)</t>
  </si>
  <si>
    <t>"Peptides We Offer" — seems like a seller</t>
  </si>
  <si>
    <t>YES — selling peptides</t>
  </si>
  <si>
    <t>https://www.tiktok.com/@fancyphysique</t>
  </si>
  <si>
    <t>913 likes on a "Peptides We Offer" video. Could be a competitor or potential partner.</t>
  </si>
  <si>
    <t>Search Term Used</t>
  </si>
  <si>
    <t>Platform</t>
  </si>
  <si>
    <t>Results Quality</t>
  </si>
  <si>
    <t>Unicorns Found</t>
  </si>
  <si>
    <t>peptide therapy miami</t>
  </si>
  <si>
    <t>TikTok</t>
  </si>
  <si>
    <t>HIGH</t>
  </si>
  <si>
    <t>3</t>
  </si>
  <si>
    <t>Found yanaa.odz (Miami), leah.bron (Coral Springs), filmedwithvictoria. Good for local SoFL accounts.</t>
  </si>
  <si>
    <t>peptide therapy south florida</t>
  </si>
  <si>
    <t>2</t>
  </si>
  <si>
    <t>Found amandac_glp, florida_regenerative. Broader search surfaced more niche accounts.</t>
  </si>
  <si>
    <t>BPC-157 results florida</t>
  </si>
  <si>
    <t>1</t>
  </si>
  <si>
    <t>Found florida_regenerative (984K views on 8K followers). Best for recovery/sports peptides.</t>
  </si>
  <si>
    <t>semaglutide weight loss miami</t>
  </si>
  <si>
    <t>MEDIUM</t>
  </si>
  <si>
    <t>Found topplasticsurgery (Spanish-language market). Lots of clinic content.</t>
  </si>
  <si>
    <t>peptide injection first time miami</t>
  </si>
  <si>
    <t>0</t>
  </si>
  <si>
    <t>Mostly larger accounts. Good for identifying trending content formats.</t>
  </si>
  <si>
    <t>#peptidetherapy #miami</t>
  </si>
  <si>
    <t>Repeat results. Good for cross-referencing.</t>
  </si>
  <si>
    <t>my peptide journey florida</t>
  </si>
  <si>
    <t>Found alittlebitofadri (Orlando, 13.4K likes), peptideparty, icelynodette. Best search for personal journey accounts.</t>
  </si>
  <si>
    <t>peptides fort lauderdale</t>
  </si>
  <si>
    <t>LOW</t>
  </si>
  <si>
    <t>Mostly small local businesses. Good for B2B leads, not unicorn individuals.</t>
  </si>
  <si>
    <t>RECOMMENDED SEARCHES TO CONTINUE (do these manually)</t>
  </si>
  <si>
    <t>semaglutide journey south florida</t>
  </si>
  <si>
    <t>TBD</t>
  </si>
  <si>
    <t>GLP-1 focused personal journeys in SoFL area</t>
  </si>
  <si>
    <t>BPC-157 healing miami</t>
  </si>
  <si>
    <t>Recovery-focused content for athlete market</t>
  </si>
  <si>
    <t>peptide weight loss transformation</t>
  </si>
  <si>
    <t>Before/after content = highest engagement potential</t>
  </si>
  <si>
    <t>tirzepatide results florida</t>
  </si>
  <si>
    <t>Newer GLP-1; early adopters are likely small accounts</t>
  </si>
  <si>
    <t>GHK-Cu skin results</t>
  </si>
  <si>
    <t>Anti-aging peptide; targets women 35-55 demographic</t>
  </si>
  <si>
    <t>compounded semaglutide cheap</t>
  </si>
  <si>
    <t>Price-sensitive audience = your value prop (quality at good price)</t>
  </si>
  <si>
    <t>peptide stack for men over 40</t>
  </si>
  <si>
    <t>Male longevity/optimization audience</t>
  </si>
  <si>
    <t>peptide therapy menopause</t>
  </si>
  <si>
    <t>Underserved women's market; #MenoTok has 1B+ views</t>
  </si>
  <si>
    <t>peptide recovery crossfit</t>
  </si>
  <si>
    <t>BPC-157 is huge in CrossFit community</t>
  </si>
  <si>
    <t>peptide clinic near me florida</t>
  </si>
  <si>
    <t>Local intent searches surface FL-based creators</t>
  </si>
  <si>
    <t>DM Script</t>
  </si>
  <si>
    <t>When to Send</t>
  </si>
  <si>
    <t>Follow-Up Script</t>
  </si>
  <si>
    <t>TRUE UNICORN
(sub-5K followers)</t>
  </si>
  <si>
    <t>Hey [Name]! I'm Dr. [Your Name], a physician in South Florida. I've been following your peptide journey and love how real you keep it. I run a peptide practice here and wanted to connect — I think there's a way we could help each other out. I offer pharma-grade product at prices that beat what most people are paying. Would you be open to a quick chat? No pressure at all.</t>
  </si>
  <si>
    <t>Within 24 hours of their latest peptide video posting</t>
  </si>
  <si>
    <t>Hey [Name], just following up — I saw your latest video and the comments are blowing up! People are clearly looking for a trusted source. If you're ever interested in trying our product (on us), I'd love to send you a sample. Totally free, no strings. Just want you to see the quality difference.</t>
  </si>
  <si>
    <t>NEAR UNICORN
(5K-10K followers)</t>
  </si>
  <si>
    <t>Hey [Name]! Dr. [Your Name] here — physician-led peptide practice in South Florida. Your content is exactly the kind of real, educational stuff this space needs. I'd love to explore a partnership: we supply you with pharma-grade peptides at cost + you get a revenue share on anyone you refer. Interested in chatting?</t>
  </si>
  <si>
    <t>After they post any peptide-related content</t>
  </si>
  <si>
    <t>Hey [Name], hope you're doing well! I wanted to share — we just got our latest COAs back and our purity numbers are [X]%. I know quality matters to you (I've seen your content). Happy to send you our testing results + a sample if you're interested. No commitment needed.</t>
  </si>
  <si>
    <t>STRONG PROSPECT
(10K-25K, viral peptide)</t>
  </si>
  <si>
    <t>Hey [Name]! I'm Dr. [Your Name], board-certified physician running a peptide practice in South Florida. I saw your [specific video description] and it clearly resonated with people — [X]K likes is incredible. I'd love to discuss a formal affiliate partnership: competitive commissions, pharma-grade product with full COAs, and the credibility of a physician-backed source your audience can trust. Can I send you some details?</t>
  </si>
  <si>
    <t>Within 48 hours of their viral peptide video</t>
  </si>
  <si>
    <t>Hey [Name]! I put together a one-pager on our affiliate program — [X]% commission, free product for content, priority pricing for your followers. I noticed a lot of people in your comments are asking for sources. We could be the answer they're looking for. Want me to send it over?</t>
  </si>
  <si>
    <t>WATCH LIST
(sub-1K, early signals)</t>
  </si>
  <si>
    <t>Hey [Name]! Love that you're documenting your peptide journey. I'm Dr. [Your Name] in South Florida — if you ever have questions about dosing, protocols, or sourcing, feel free to reach out. Happy to help! Also — if you're open to it, I'd love to send you a sample of our pharma-grade product to try.</t>
  </si>
  <si>
    <t>After their 2nd or 3rd peptide video</t>
  </si>
  <si>
    <t>No aggressive follow-up. Just engage with their content (likes, genuine comments) for 2-3 weeks. Build relationship first. These accounts may not convert now but could blow up later.</t>
  </si>
  <si>
    <t>B2B HYBRID
(clinics with viral TikTok)</t>
  </si>
  <si>
    <t>Hi [Clinic Name] team! Dr. [Your Name] here — I run a peptide practice in South Florida and I've been impressed by your TikTok presence, especially [specific video]. I'd love to discuss a wholesale supply arrangement: pharma-grade peptides, competitive pricing, full COAs, and reliable South Florida delivery. Would the managing physician or practice manager be available for a brief call?</t>
  </si>
  <si>
    <t>Business hours, Mon-Thu</t>
  </si>
  <si>
    <t>Hi [Clinic Name], following up on my message about wholesale peptide supply. We're offering introductory pricing for new practice partners in South Florida. I can have pricing sheets and COAs sent over today if there's interest. Would [specific day] work for a 15-minute call?</t>
  </si>
  <si>
    <t>Source Video</t>
  </si>
  <si>
    <t>Commenter Handle</t>
  </si>
  <si>
    <t>Comment</t>
  </si>
  <si>
    <t>Signal Type</t>
  </si>
  <si>
    <t>Action</t>
  </si>
  <si>
    <t>@alittlebitofadri peptide video</t>
  </si>
  <si>
    <t>Shay Shay</t>
  </si>
  <si>
    <t>"I'm in Reta for weight loss, ghk-cu for beauty, DSIP for sleep. Almost a year. Obsessed."</t>
  </si>
  <si>
    <t>Active buyer — multi-peptide</t>
  </si>
  <si>
    <t>DM with physician consultation offer</t>
  </si>
  <si>
    <t>Elliott</t>
  </si>
  <si>
    <t>"neurolabs is the cheapest + has a starter kit"</t>
  </si>
  <si>
    <t>Competitor mention</t>
  </si>
  <si>
    <t>Note competitor pricing; undercut or match with quality</t>
  </si>
  <si>
    <t>the__summerlove</t>
  </si>
  <si>
    <t>"Gray market. You're welcome."</t>
  </si>
  <si>
    <t>Grey market user</t>
  </si>
  <si>
    <t>These are your potential converts — physician-backed &gt; grey market</t>
  </si>
  <si>
    <t>@filmedwithvictoria peptide video</t>
  </si>
  <si>
    <t>Rebecca Paige Martinez</t>
  </si>
  <si>
    <t>"Where do you get them? I'm dying to try peptides so badly"</t>
  </si>
  <si>
    <t>High buying intent</t>
  </si>
  <si>
    <t>Active lead — DM with info</t>
  </si>
  <si>
    <t>Cambria || SAHM</t>
  </si>
  <si>
    <t>"ordered and got it. how do you know what to dose when starting out"</t>
  </si>
  <si>
    <t>Bought but needs guidance</t>
  </si>
  <si>
    <t>Physician consult offer — dosing guidance = your value add</t>
  </si>
  <si>
    <t>@yanaa.odz peptide video</t>
  </si>
  <si>
    <t>jessica Luciano</t>
  </si>
  <si>
    <t>"The skin glow from GHK-Cu is real. Just gotta get past that sting lol. source lmk"</t>
  </si>
  <si>
    <t>Asking for source</t>
  </si>
  <si>
    <t>Active lead — DM with GHK-Cu offer</t>
  </si>
  <si>
    <t>Harby</t>
  </si>
  <si>
    <t>"Source here" (with fire emojis)</t>
  </si>
  <si>
    <t>Active lead — DM immediately</t>
  </si>
  <si>
    <t>User506038173857</t>
  </si>
  <si>
    <t>"Yall gotta get them from Vantyx research they ship out next day"</t>
  </si>
  <si>
    <t>Note competitor: Vantyx Research. Differentiate on physician backing.</t>
  </si>
  <si>
    <t>@leah.bron peptide video</t>
  </si>
  <si>
    <t>Tony Kim</t>
  </si>
  <si>
    <t>"wow. reta at a health clinic? soo illegal" (342 likes)</t>
  </si>
  <si>
    <t>Controversy = engagement</t>
  </si>
  <si>
    <t>Regulatory awareness content opportunity — address legality</t>
  </si>
  <si>
    <t>Travis zak</t>
  </si>
  <si>
    <t>"Medspa can't carry Reta lol not FDA approved. go grey market and pay half the price"</t>
  </si>
  <si>
    <t>Grey market advocate</t>
  </si>
  <si>
    <t>Content opportunity: "Why physician-grade &gt; grey market"</t>
  </si>
  <si>
    <t>@florida_regenerative BPC-157</t>
  </si>
  <si>
    <t>Various (2,588 comments)</t>
  </si>
  <si>
    <t>Massive engagement asking about connective tissue, fibroids, pills vs injection</t>
  </si>
  <si>
    <t>BPC-157 content opportunity with your physician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</si>
</sst>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1B2A4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8D5F5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8D5F5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8E44AD"/>
      <rgbColor rgb="FFFCE4D6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74C3C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44AD"/>
  </sheetPr>
  <dimension ref="A1:Q14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22" customWidth="1"/>
    <col min="2" max="2" width="20" customWidth="1"/>
    <col min="3" max="3" width="12" customWidth="1"/>
    <col min="4" max="4" width="16" customWidth="1"/>
    <col min="5" max="5" width="14" customWidth="1"/>
    <col min="6" max="7" width="12" customWidth="1"/>
    <col min="8" max="8" width="18" customWidth="1"/>
    <col min="9" max="9" width="16" customWidth="1"/>
    <col min="10" max="10" width="20" customWidth="1"/>
    <col min="11" max="11" width="24" customWidth="1"/>
    <col min="12" max="12" width="20" customWidth="1"/>
    <col min="13" max="13" width="34" customWidth="1"/>
    <col min="14" max="14" width="40" customWidth="1"/>
    <col min="15" max="15" width="28" customWidth="1"/>
    <col min="16" max="16" width="16" customWidth="1"/>
    <col min="17" max="17" width="40" customWidth="1"/>
  </cols>
  <sheetData>
    <row r="1" spans="1:17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6" x14ac:dyDescent="0.2">
      <c r="A2" s="2" t="s">
        <v>17</v>
      </c>
      <c r="B2" s="2" t="s">
        <v>18</v>
      </c>
      <c r="C2" s="2">
        <v>4624</v>
      </c>
      <c r="D2" s="2">
        <v>2144</v>
      </c>
      <c r="E2" s="2">
        <v>815</v>
      </c>
      <c r="F2" s="2" t="s">
        <v>19</v>
      </c>
      <c r="G2" s="2" t="s">
        <v>19</v>
      </c>
      <c r="H2" s="2">
        <f t="shared" ref="H2:H8" si="0">D2/C2</f>
        <v>0.46366782006920415</v>
      </c>
      <c r="I2" s="3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/>
      <c r="O2" s="2" t="s">
        <v>25</v>
      </c>
      <c r="P2" s="2" t="s">
        <v>26</v>
      </c>
      <c r="Q2" s="2" t="s">
        <v>27</v>
      </c>
    </row>
    <row r="3" spans="1:17" ht="70" x14ac:dyDescent="0.2">
      <c r="A3" s="2" t="s">
        <v>28</v>
      </c>
      <c r="B3" s="2" t="s">
        <v>29</v>
      </c>
      <c r="C3" s="2">
        <v>8961</v>
      </c>
      <c r="D3" s="2">
        <v>18800</v>
      </c>
      <c r="E3" s="2" t="s">
        <v>19</v>
      </c>
      <c r="F3" s="2" t="s">
        <v>19</v>
      </c>
      <c r="G3" s="2" t="s">
        <v>19</v>
      </c>
      <c r="H3" s="2">
        <f t="shared" si="0"/>
        <v>2.0979801361455195</v>
      </c>
      <c r="I3" s="4" t="s">
        <v>30</v>
      </c>
      <c r="J3" s="2" t="s">
        <v>21</v>
      </c>
      <c r="K3" s="2" t="s">
        <v>31</v>
      </c>
      <c r="L3" s="2" t="s">
        <v>32</v>
      </c>
      <c r="M3" s="2" t="s">
        <v>33</v>
      </c>
      <c r="N3" s="2"/>
      <c r="O3" s="2" t="s">
        <v>34</v>
      </c>
      <c r="P3" s="2" t="s">
        <v>26</v>
      </c>
      <c r="Q3" s="2" t="s">
        <v>35</v>
      </c>
    </row>
    <row r="4" spans="1:17" ht="56" x14ac:dyDescent="0.2">
      <c r="A4" s="2" t="s">
        <v>36</v>
      </c>
      <c r="B4" s="2" t="s">
        <v>37</v>
      </c>
      <c r="C4" s="2">
        <v>8103</v>
      </c>
      <c r="D4" s="2">
        <v>984400</v>
      </c>
      <c r="E4" s="2">
        <v>46500</v>
      </c>
      <c r="F4" s="2">
        <v>2588</v>
      </c>
      <c r="G4" s="2">
        <v>16200</v>
      </c>
      <c r="H4" s="2">
        <f t="shared" si="0"/>
        <v>121.48586943107492</v>
      </c>
      <c r="I4" s="4" t="s">
        <v>30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42</v>
      </c>
      <c r="O4" s="2" t="s">
        <v>43</v>
      </c>
      <c r="P4" s="2" t="s">
        <v>26</v>
      </c>
      <c r="Q4" s="2" t="s">
        <v>44</v>
      </c>
    </row>
    <row r="5" spans="1:17" ht="56" x14ac:dyDescent="0.2">
      <c r="A5" s="2" t="s">
        <v>45</v>
      </c>
      <c r="B5" s="2" t="s">
        <v>46</v>
      </c>
      <c r="C5" s="2">
        <v>11000</v>
      </c>
      <c r="D5" s="2">
        <v>1500000</v>
      </c>
      <c r="E5" s="2">
        <v>386</v>
      </c>
      <c r="F5" s="2">
        <v>136</v>
      </c>
      <c r="G5" s="2">
        <v>180</v>
      </c>
      <c r="H5" s="2">
        <f t="shared" si="0"/>
        <v>136.36363636363637</v>
      </c>
      <c r="I5" s="5" t="s">
        <v>47</v>
      </c>
      <c r="J5" s="2" t="s">
        <v>48</v>
      </c>
      <c r="K5" s="2" t="s">
        <v>49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26</v>
      </c>
      <c r="Q5" s="2" t="s">
        <v>54</v>
      </c>
    </row>
    <row r="6" spans="1:17" ht="84" x14ac:dyDescent="0.2">
      <c r="A6" s="2" t="s">
        <v>55</v>
      </c>
      <c r="B6" s="2" t="s">
        <v>56</v>
      </c>
      <c r="C6" s="2">
        <v>21300</v>
      </c>
      <c r="D6" s="2">
        <v>975700</v>
      </c>
      <c r="E6" s="2">
        <v>13400</v>
      </c>
      <c r="F6" s="2">
        <v>1784</v>
      </c>
      <c r="G6" s="2">
        <v>2654</v>
      </c>
      <c r="H6" s="2">
        <f t="shared" si="0"/>
        <v>45.8075117370892</v>
      </c>
      <c r="I6" s="5" t="s">
        <v>47</v>
      </c>
      <c r="J6" s="2" t="s">
        <v>57</v>
      </c>
      <c r="K6" s="2" t="s">
        <v>58</v>
      </c>
      <c r="L6" s="2" t="s">
        <v>59</v>
      </c>
      <c r="M6" s="2" t="s">
        <v>60</v>
      </c>
      <c r="N6" s="2" t="s">
        <v>61</v>
      </c>
      <c r="O6" s="2" t="s">
        <v>62</v>
      </c>
      <c r="P6" s="2" t="s">
        <v>26</v>
      </c>
      <c r="Q6" s="2" t="s">
        <v>63</v>
      </c>
    </row>
    <row r="7" spans="1:17" ht="70" x14ac:dyDescent="0.2">
      <c r="A7" s="2" t="s">
        <v>64</v>
      </c>
      <c r="B7" s="2" t="s">
        <v>65</v>
      </c>
      <c r="C7" s="2">
        <v>67600</v>
      </c>
      <c r="D7" s="2">
        <v>7800000</v>
      </c>
      <c r="E7" s="2">
        <v>334</v>
      </c>
      <c r="F7" s="2">
        <v>59</v>
      </c>
      <c r="G7" s="2">
        <v>63</v>
      </c>
      <c r="H7" s="2">
        <f t="shared" si="0"/>
        <v>115.38461538461539</v>
      </c>
      <c r="I7" s="5" t="s">
        <v>66</v>
      </c>
      <c r="J7" s="2" t="s">
        <v>67</v>
      </c>
      <c r="K7" s="2" t="s">
        <v>68</v>
      </c>
      <c r="L7" s="2" t="s">
        <v>69</v>
      </c>
      <c r="M7" s="2" t="s">
        <v>70</v>
      </c>
      <c r="N7" s="2" t="s">
        <v>71</v>
      </c>
      <c r="O7" s="2" t="s">
        <v>72</v>
      </c>
      <c r="P7" s="2" t="s">
        <v>26</v>
      </c>
      <c r="Q7" s="2" t="s">
        <v>73</v>
      </c>
    </row>
    <row r="8" spans="1:17" ht="70" x14ac:dyDescent="0.2">
      <c r="A8" s="2" t="s">
        <v>74</v>
      </c>
      <c r="B8" s="2" t="s">
        <v>75</v>
      </c>
      <c r="C8" s="2">
        <v>89100</v>
      </c>
      <c r="D8" s="2">
        <v>73700</v>
      </c>
      <c r="E8" s="2">
        <v>3504</v>
      </c>
      <c r="F8" s="2">
        <v>439</v>
      </c>
      <c r="G8" s="2">
        <v>847</v>
      </c>
      <c r="H8" s="2">
        <f t="shared" si="0"/>
        <v>0.8271604938271605</v>
      </c>
      <c r="I8" s="5" t="s">
        <v>66</v>
      </c>
      <c r="J8" s="2" t="s">
        <v>76</v>
      </c>
      <c r="K8" s="2" t="s">
        <v>77</v>
      </c>
      <c r="L8" s="2" t="s">
        <v>78</v>
      </c>
      <c r="M8" s="2" t="s">
        <v>79</v>
      </c>
      <c r="N8" s="2" t="s">
        <v>80</v>
      </c>
      <c r="O8" s="2" t="s">
        <v>81</v>
      </c>
      <c r="P8" s="2" t="s">
        <v>26</v>
      </c>
      <c r="Q8" s="2" t="s">
        <v>82</v>
      </c>
    </row>
    <row r="9" spans="1:17" ht="56" x14ac:dyDescent="0.2">
      <c r="A9" s="2" t="s">
        <v>83</v>
      </c>
      <c r="B9" s="2" t="s">
        <v>84</v>
      </c>
      <c r="C9" s="2">
        <v>40900</v>
      </c>
      <c r="D9" s="2" t="s">
        <v>19</v>
      </c>
      <c r="E9" s="2">
        <v>20600</v>
      </c>
      <c r="F9" s="2">
        <v>788</v>
      </c>
      <c r="G9" s="2">
        <v>3461</v>
      </c>
      <c r="H9" s="2" t="s">
        <v>19</v>
      </c>
      <c r="I9" s="6" t="s">
        <v>85</v>
      </c>
      <c r="J9" s="2" t="s">
        <v>67</v>
      </c>
      <c r="K9" s="2" t="s">
        <v>86</v>
      </c>
      <c r="L9" s="2" t="s">
        <v>87</v>
      </c>
      <c r="M9" s="2" t="s">
        <v>88</v>
      </c>
      <c r="N9" s="2" t="s">
        <v>89</v>
      </c>
      <c r="O9" s="2" t="s">
        <v>90</v>
      </c>
      <c r="P9" s="2" t="s">
        <v>26</v>
      </c>
      <c r="Q9" s="2" t="s">
        <v>91</v>
      </c>
    </row>
    <row r="10" spans="1:17" ht="28" x14ac:dyDescent="0.2">
      <c r="A10" s="2" t="s">
        <v>92</v>
      </c>
      <c r="B10" s="2" t="s">
        <v>93</v>
      </c>
      <c r="C10" s="2" t="s">
        <v>94</v>
      </c>
      <c r="D10" s="2" t="s">
        <v>19</v>
      </c>
      <c r="E10" s="2">
        <v>1</v>
      </c>
      <c r="F10" s="2" t="s">
        <v>19</v>
      </c>
      <c r="G10" s="2" t="s">
        <v>19</v>
      </c>
      <c r="H10" s="2" t="s">
        <v>19</v>
      </c>
      <c r="I10" s="7" t="s">
        <v>95</v>
      </c>
      <c r="J10" s="2" t="s">
        <v>96</v>
      </c>
      <c r="K10" s="2" t="s">
        <v>97</v>
      </c>
      <c r="L10" s="2" t="s">
        <v>98</v>
      </c>
      <c r="M10" s="2" t="s">
        <v>99</v>
      </c>
      <c r="N10" s="2"/>
      <c r="O10" s="2"/>
      <c r="P10" s="2" t="s">
        <v>26</v>
      </c>
      <c r="Q10" s="2" t="s">
        <v>100</v>
      </c>
    </row>
    <row r="11" spans="1:17" ht="28" x14ac:dyDescent="0.2">
      <c r="A11" s="2" t="s">
        <v>101</v>
      </c>
      <c r="B11" s="2" t="s">
        <v>102</v>
      </c>
      <c r="C11" s="2" t="s">
        <v>94</v>
      </c>
      <c r="D11" s="2" t="s">
        <v>19</v>
      </c>
      <c r="E11" s="2">
        <v>41</v>
      </c>
      <c r="F11" s="2" t="s">
        <v>19</v>
      </c>
      <c r="G11" s="2" t="s">
        <v>19</v>
      </c>
      <c r="H11" s="2" t="s">
        <v>19</v>
      </c>
      <c r="I11" s="7" t="s">
        <v>95</v>
      </c>
      <c r="J11" s="2" t="s">
        <v>98</v>
      </c>
      <c r="K11" s="2" t="s">
        <v>103</v>
      </c>
      <c r="L11" s="2" t="s">
        <v>98</v>
      </c>
      <c r="M11" s="2" t="s">
        <v>104</v>
      </c>
      <c r="N11" s="2"/>
      <c r="O11" s="2"/>
      <c r="P11" s="2" t="s">
        <v>26</v>
      </c>
      <c r="Q11" s="2" t="s">
        <v>105</v>
      </c>
    </row>
    <row r="12" spans="1:17" ht="28" x14ac:dyDescent="0.2">
      <c r="A12" s="2" t="s">
        <v>106</v>
      </c>
      <c r="B12" s="2" t="s">
        <v>107</v>
      </c>
      <c r="C12" s="2" t="s">
        <v>94</v>
      </c>
      <c r="D12" s="2" t="s">
        <v>19</v>
      </c>
      <c r="E12" s="2">
        <v>104</v>
      </c>
      <c r="F12" s="2" t="s">
        <v>19</v>
      </c>
      <c r="G12" s="2" t="s">
        <v>19</v>
      </c>
      <c r="H12" s="2" t="s">
        <v>19</v>
      </c>
      <c r="I12" s="7" t="s">
        <v>95</v>
      </c>
      <c r="J12" s="2" t="s">
        <v>98</v>
      </c>
      <c r="K12" s="2" t="s">
        <v>103</v>
      </c>
      <c r="L12" s="2" t="s">
        <v>98</v>
      </c>
      <c r="M12" s="2" t="s">
        <v>108</v>
      </c>
      <c r="N12" s="2"/>
      <c r="O12" s="2"/>
      <c r="P12" s="2" t="s">
        <v>26</v>
      </c>
      <c r="Q12" s="2" t="s">
        <v>109</v>
      </c>
    </row>
    <row r="13" spans="1:17" ht="28" x14ac:dyDescent="0.2">
      <c r="A13" s="2" t="s">
        <v>110</v>
      </c>
      <c r="B13" s="2" t="s">
        <v>111</v>
      </c>
      <c r="C13" s="2" t="s">
        <v>94</v>
      </c>
      <c r="D13" s="2" t="s">
        <v>19</v>
      </c>
      <c r="E13" s="2">
        <v>25</v>
      </c>
      <c r="F13" s="2" t="s">
        <v>19</v>
      </c>
      <c r="G13" s="2" t="s">
        <v>19</v>
      </c>
      <c r="H13" s="2" t="s">
        <v>19</v>
      </c>
      <c r="I13" s="7" t="s">
        <v>95</v>
      </c>
      <c r="J13" s="2" t="s">
        <v>38</v>
      </c>
      <c r="K13" s="2" t="s">
        <v>112</v>
      </c>
      <c r="L13" s="2" t="s">
        <v>98</v>
      </c>
      <c r="M13" s="2" t="s">
        <v>113</v>
      </c>
      <c r="N13" s="2"/>
      <c r="O13" s="2"/>
      <c r="P13" s="2" t="s">
        <v>26</v>
      </c>
      <c r="Q13" s="2" t="s">
        <v>114</v>
      </c>
    </row>
    <row r="14" spans="1:17" ht="28" x14ac:dyDescent="0.2">
      <c r="A14" s="2" t="s">
        <v>115</v>
      </c>
      <c r="B14" s="2" t="s">
        <v>116</v>
      </c>
      <c r="C14" s="2" t="s">
        <v>94</v>
      </c>
      <c r="D14" s="2" t="s">
        <v>19</v>
      </c>
      <c r="E14" s="2">
        <v>913</v>
      </c>
      <c r="F14" s="2" t="s">
        <v>19</v>
      </c>
      <c r="G14" s="2" t="s">
        <v>19</v>
      </c>
      <c r="H14" s="2" t="s">
        <v>19</v>
      </c>
      <c r="I14" s="7" t="s">
        <v>95</v>
      </c>
      <c r="J14" s="2" t="s">
        <v>117</v>
      </c>
      <c r="K14" s="2" t="s">
        <v>118</v>
      </c>
      <c r="L14" s="2" t="s">
        <v>119</v>
      </c>
      <c r="M14" s="2" t="s">
        <v>120</v>
      </c>
      <c r="N14" s="2"/>
      <c r="O14" s="2"/>
      <c r="P14" s="2" t="s">
        <v>26</v>
      </c>
      <c r="Q14" s="2" t="s">
        <v>121</v>
      </c>
    </row>
  </sheetData>
  <autoFilter ref="A1:Q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E2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35" customWidth="1"/>
    <col min="2" max="2" width="12" customWidth="1"/>
    <col min="3" max="4" width="16" customWidth="1"/>
    <col min="5" max="5" width="50" customWidth="1"/>
  </cols>
  <sheetData>
    <row r="1" spans="1:5" x14ac:dyDescent="0.2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16</v>
      </c>
    </row>
    <row r="2" spans="1:5" ht="28" x14ac:dyDescent="0.2">
      <c r="A2" s="2" t="s">
        <v>126</v>
      </c>
      <c r="B2" s="2" t="s">
        <v>127</v>
      </c>
      <c r="C2" s="2" t="s">
        <v>128</v>
      </c>
      <c r="D2" s="2" t="s">
        <v>129</v>
      </c>
      <c r="E2" s="2" t="s">
        <v>130</v>
      </c>
    </row>
    <row r="3" spans="1:5" ht="28" x14ac:dyDescent="0.2">
      <c r="A3" s="2" t="s">
        <v>131</v>
      </c>
      <c r="B3" s="2" t="s">
        <v>127</v>
      </c>
      <c r="C3" s="2" t="s">
        <v>128</v>
      </c>
      <c r="D3" s="2" t="s">
        <v>132</v>
      </c>
      <c r="E3" s="2" t="s">
        <v>133</v>
      </c>
    </row>
    <row r="4" spans="1:5" ht="28" x14ac:dyDescent="0.2">
      <c r="A4" s="2" t="s">
        <v>134</v>
      </c>
      <c r="B4" s="2" t="s">
        <v>127</v>
      </c>
      <c r="C4" s="2" t="s">
        <v>128</v>
      </c>
      <c r="D4" s="2" t="s">
        <v>135</v>
      </c>
      <c r="E4" s="2" t="s">
        <v>136</v>
      </c>
    </row>
    <row r="5" spans="1:5" ht="28" x14ac:dyDescent="0.2">
      <c r="A5" s="2" t="s">
        <v>137</v>
      </c>
      <c r="B5" s="2" t="s">
        <v>127</v>
      </c>
      <c r="C5" s="2" t="s">
        <v>138</v>
      </c>
      <c r="D5" s="2" t="s">
        <v>135</v>
      </c>
      <c r="E5" s="2" t="s">
        <v>139</v>
      </c>
    </row>
    <row r="6" spans="1:5" ht="28" x14ac:dyDescent="0.2">
      <c r="A6" s="2" t="s">
        <v>140</v>
      </c>
      <c r="B6" s="2" t="s">
        <v>127</v>
      </c>
      <c r="C6" s="2" t="s">
        <v>138</v>
      </c>
      <c r="D6" s="2" t="s">
        <v>141</v>
      </c>
      <c r="E6" s="2" t="s">
        <v>142</v>
      </c>
    </row>
    <row r="7" spans="1:5" x14ac:dyDescent="0.2">
      <c r="A7" s="2" t="s">
        <v>143</v>
      </c>
      <c r="B7" s="2" t="s">
        <v>127</v>
      </c>
      <c r="C7" s="2" t="s">
        <v>138</v>
      </c>
      <c r="D7" s="2" t="s">
        <v>141</v>
      </c>
      <c r="E7" s="2" t="s">
        <v>144</v>
      </c>
    </row>
    <row r="8" spans="1:5" ht="28" x14ac:dyDescent="0.2">
      <c r="A8" s="2" t="s">
        <v>145</v>
      </c>
      <c r="B8" s="2" t="s">
        <v>127</v>
      </c>
      <c r="C8" s="2" t="s">
        <v>128</v>
      </c>
      <c r="D8" s="2" t="s">
        <v>129</v>
      </c>
      <c r="E8" s="2" t="s">
        <v>146</v>
      </c>
    </row>
    <row r="9" spans="1:5" ht="28" x14ac:dyDescent="0.2">
      <c r="A9" s="2" t="s">
        <v>147</v>
      </c>
      <c r="B9" s="2" t="s">
        <v>127</v>
      </c>
      <c r="C9" s="2" t="s">
        <v>148</v>
      </c>
      <c r="D9" s="2" t="s">
        <v>141</v>
      </c>
      <c r="E9" s="2" t="s">
        <v>149</v>
      </c>
    </row>
    <row r="11" spans="1:5" x14ac:dyDescent="0.2">
      <c r="A11" s="8" t="s">
        <v>150</v>
      </c>
    </row>
    <row r="12" spans="1:5" x14ac:dyDescent="0.2">
      <c r="A12" s="2" t="s">
        <v>151</v>
      </c>
      <c r="B12" s="2" t="s">
        <v>127</v>
      </c>
      <c r="C12" s="2" t="s">
        <v>152</v>
      </c>
      <c r="D12" s="2"/>
      <c r="E12" s="2" t="s">
        <v>153</v>
      </c>
    </row>
    <row r="13" spans="1:5" x14ac:dyDescent="0.2">
      <c r="A13" s="2" t="s">
        <v>154</v>
      </c>
      <c r="B13" s="2" t="s">
        <v>127</v>
      </c>
      <c r="C13" s="2" t="s">
        <v>152</v>
      </c>
      <c r="D13" s="2"/>
      <c r="E13" s="2" t="s">
        <v>155</v>
      </c>
    </row>
    <row r="14" spans="1:5" x14ac:dyDescent="0.2">
      <c r="A14" s="2" t="s">
        <v>156</v>
      </c>
      <c r="B14" s="2" t="s">
        <v>127</v>
      </c>
      <c r="C14" s="2" t="s">
        <v>152</v>
      </c>
      <c r="D14" s="2"/>
      <c r="E14" s="2" t="s">
        <v>157</v>
      </c>
    </row>
    <row r="15" spans="1:5" x14ac:dyDescent="0.2">
      <c r="A15" s="2" t="s">
        <v>158</v>
      </c>
      <c r="B15" s="2" t="s">
        <v>127</v>
      </c>
      <c r="C15" s="2" t="s">
        <v>152</v>
      </c>
      <c r="D15" s="2"/>
      <c r="E15" s="2" t="s">
        <v>159</v>
      </c>
    </row>
    <row r="16" spans="1:5" x14ac:dyDescent="0.2">
      <c r="A16" s="2" t="s">
        <v>160</v>
      </c>
      <c r="B16" s="2" t="s">
        <v>127</v>
      </c>
      <c r="C16" s="2" t="s">
        <v>152</v>
      </c>
      <c r="D16" s="2"/>
      <c r="E16" s="2" t="s">
        <v>161</v>
      </c>
    </row>
    <row r="17" spans="1:5" ht="28" x14ac:dyDescent="0.2">
      <c r="A17" s="2" t="s">
        <v>162</v>
      </c>
      <c r="B17" s="2" t="s">
        <v>127</v>
      </c>
      <c r="C17" s="2" t="s">
        <v>152</v>
      </c>
      <c r="D17" s="2"/>
      <c r="E17" s="2" t="s">
        <v>163</v>
      </c>
    </row>
    <row r="18" spans="1:5" x14ac:dyDescent="0.2">
      <c r="A18" s="2" t="s">
        <v>164</v>
      </c>
      <c r="B18" s="2" t="s">
        <v>127</v>
      </c>
      <c r="C18" s="2" t="s">
        <v>152</v>
      </c>
      <c r="D18" s="2"/>
      <c r="E18" s="2" t="s">
        <v>165</v>
      </c>
    </row>
    <row r="19" spans="1:5" x14ac:dyDescent="0.2">
      <c r="A19" s="2" t="s">
        <v>166</v>
      </c>
      <c r="B19" s="2" t="s">
        <v>127</v>
      </c>
      <c r="C19" s="2" t="s">
        <v>152</v>
      </c>
      <c r="D19" s="2"/>
      <c r="E19" s="2" t="s">
        <v>167</v>
      </c>
    </row>
    <row r="20" spans="1:5" x14ac:dyDescent="0.2">
      <c r="A20" s="2" t="s">
        <v>168</v>
      </c>
      <c r="B20" s="2" t="s">
        <v>127</v>
      </c>
      <c r="C20" s="2" t="s">
        <v>152</v>
      </c>
      <c r="D20" s="2"/>
      <c r="E20" s="2" t="s">
        <v>169</v>
      </c>
    </row>
    <row r="21" spans="1:5" x14ac:dyDescent="0.2">
      <c r="A21" s="2" t="s">
        <v>170</v>
      </c>
      <c r="B21" s="2" t="s">
        <v>127</v>
      </c>
      <c r="C21" s="2" t="s">
        <v>152</v>
      </c>
      <c r="D21" s="2"/>
      <c r="E21" s="2" t="s">
        <v>171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D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20" customWidth="1"/>
    <col min="2" max="2" width="60" customWidth="1"/>
    <col min="3" max="3" width="25" customWidth="1"/>
    <col min="4" max="4" width="60" customWidth="1"/>
  </cols>
  <sheetData>
    <row r="1" spans="1:4" x14ac:dyDescent="0.2">
      <c r="A1" s="1" t="s">
        <v>8</v>
      </c>
      <c r="B1" s="1" t="s">
        <v>172</v>
      </c>
      <c r="C1" s="1" t="s">
        <v>173</v>
      </c>
      <c r="D1" s="1" t="s">
        <v>174</v>
      </c>
    </row>
    <row r="2" spans="1:4" ht="84" x14ac:dyDescent="0.2">
      <c r="A2" s="2" t="s">
        <v>175</v>
      </c>
      <c r="B2" s="2" t="s">
        <v>176</v>
      </c>
      <c r="C2" s="2" t="s">
        <v>177</v>
      </c>
      <c r="D2" s="2" t="s">
        <v>178</v>
      </c>
    </row>
    <row r="3" spans="1:4" ht="70" x14ac:dyDescent="0.2">
      <c r="A3" s="2" t="s">
        <v>179</v>
      </c>
      <c r="B3" s="2" t="s">
        <v>180</v>
      </c>
      <c r="C3" s="2" t="s">
        <v>181</v>
      </c>
      <c r="D3" s="2" t="s">
        <v>182</v>
      </c>
    </row>
    <row r="4" spans="1:4" ht="84" x14ac:dyDescent="0.2">
      <c r="A4" s="2" t="s">
        <v>183</v>
      </c>
      <c r="B4" s="2" t="s">
        <v>184</v>
      </c>
      <c r="C4" s="2" t="s">
        <v>185</v>
      </c>
      <c r="D4" s="2" t="s">
        <v>186</v>
      </c>
    </row>
    <row r="5" spans="1:4" ht="70" x14ac:dyDescent="0.2">
      <c r="A5" s="2" t="s">
        <v>187</v>
      </c>
      <c r="B5" s="2" t="s">
        <v>188</v>
      </c>
      <c r="C5" s="2" t="s">
        <v>189</v>
      </c>
      <c r="D5" s="2" t="s">
        <v>190</v>
      </c>
    </row>
    <row r="6" spans="1:4" ht="84" x14ac:dyDescent="0.2">
      <c r="A6" s="2" t="s">
        <v>191</v>
      </c>
      <c r="B6" s="2" t="s">
        <v>192</v>
      </c>
      <c r="C6" s="2" t="s">
        <v>193</v>
      </c>
      <c r="D6" s="2" t="s">
        <v>194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4C3C"/>
  </sheetPr>
  <dimension ref="A1:E1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30" customWidth="1"/>
    <col min="2" max="2" width="22" customWidth="1"/>
    <col min="3" max="3" width="50" customWidth="1"/>
    <col min="4" max="4" width="20" customWidth="1"/>
    <col min="5" max="5" width="40" customWidth="1"/>
  </cols>
  <sheetData>
    <row r="1" spans="1:5" x14ac:dyDescent="0.2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</row>
    <row r="2" spans="1:5" ht="28" x14ac:dyDescent="0.2">
      <c r="A2" s="2" t="s">
        <v>200</v>
      </c>
      <c r="B2" s="2" t="s">
        <v>201</v>
      </c>
      <c r="C2" s="2" t="s">
        <v>202</v>
      </c>
      <c r="D2" s="2" t="s">
        <v>203</v>
      </c>
      <c r="E2" s="2" t="s">
        <v>204</v>
      </c>
    </row>
    <row r="3" spans="1:5" ht="28" x14ac:dyDescent="0.2">
      <c r="A3" s="2" t="s">
        <v>200</v>
      </c>
      <c r="B3" s="2" t="s">
        <v>205</v>
      </c>
      <c r="C3" s="2" t="s">
        <v>206</v>
      </c>
      <c r="D3" s="2" t="s">
        <v>207</v>
      </c>
      <c r="E3" s="2" t="s">
        <v>208</v>
      </c>
    </row>
    <row r="4" spans="1:5" ht="28" x14ac:dyDescent="0.2">
      <c r="A4" s="2" t="s">
        <v>200</v>
      </c>
      <c r="B4" s="2" t="s">
        <v>209</v>
      </c>
      <c r="C4" s="2" t="s">
        <v>210</v>
      </c>
      <c r="D4" s="2" t="s">
        <v>211</v>
      </c>
      <c r="E4" s="2" t="s">
        <v>212</v>
      </c>
    </row>
    <row r="5" spans="1:5" x14ac:dyDescent="0.2">
      <c r="A5" s="2" t="s">
        <v>213</v>
      </c>
      <c r="B5" s="2" t="s">
        <v>214</v>
      </c>
      <c r="C5" s="2" t="s">
        <v>215</v>
      </c>
      <c r="D5" s="2" t="s">
        <v>216</v>
      </c>
      <c r="E5" s="2" t="s">
        <v>217</v>
      </c>
    </row>
    <row r="6" spans="1:5" ht="28" x14ac:dyDescent="0.2">
      <c r="A6" s="2" t="s">
        <v>213</v>
      </c>
      <c r="B6" s="2" t="s">
        <v>218</v>
      </c>
      <c r="C6" s="2" t="s">
        <v>219</v>
      </c>
      <c r="D6" s="2" t="s">
        <v>220</v>
      </c>
      <c r="E6" s="2" t="s">
        <v>221</v>
      </c>
    </row>
    <row r="7" spans="1:5" ht="28" x14ac:dyDescent="0.2">
      <c r="A7" s="2" t="s">
        <v>222</v>
      </c>
      <c r="B7" s="2" t="s">
        <v>223</v>
      </c>
      <c r="C7" s="2" t="s">
        <v>224</v>
      </c>
      <c r="D7" s="2" t="s">
        <v>225</v>
      </c>
      <c r="E7" s="2" t="s">
        <v>226</v>
      </c>
    </row>
    <row r="8" spans="1:5" x14ac:dyDescent="0.2">
      <c r="A8" s="2" t="s">
        <v>222</v>
      </c>
      <c r="B8" s="2" t="s">
        <v>227</v>
      </c>
      <c r="C8" s="2" t="s">
        <v>228</v>
      </c>
      <c r="D8" s="2" t="s">
        <v>225</v>
      </c>
      <c r="E8" s="2" t="s">
        <v>229</v>
      </c>
    </row>
    <row r="9" spans="1:5" ht="28" x14ac:dyDescent="0.2">
      <c r="A9" s="2" t="s">
        <v>222</v>
      </c>
      <c r="B9" s="2" t="s">
        <v>230</v>
      </c>
      <c r="C9" s="2" t="s">
        <v>231</v>
      </c>
      <c r="D9" s="2" t="s">
        <v>207</v>
      </c>
      <c r="E9" s="2" t="s">
        <v>232</v>
      </c>
    </row>
    <row r="10" spans="1:5" ht="28" x14ac:dyDescent="0.2">
      <c r="A10" s="2" t="s">
        <v>233</v>
      </c>
      <c r="B10" s="2" t="s">
        <v>234</v>
      </c>
      <c r="C10" s="2" t="s">
        <v>235</v>
      </c>
      <c r="D10" s="2" t="s">
        <v>236</v>
      </c>
      <c r="E10" s="2" t="s">
        <v>237</v>
      </c>
    </row>
    <row r="11" spans="1:5" ht="28" x14ac:dyDescent="0.2">
      <c r="A11" s="2" t="s">
        <v>233</v>
      </c>
      <c r="B11" s="2" t="s">
        <v>238</v>
      </c>
      <c r="C11" s="2" t="s">
        <v>239</v>
      </c>
      <c r="D11" s="2" t="s">
        <v>240</v>
      </c>
      <c r="E11" s="2" t="s">
        <v>241</v>
      </c>
    </row>
    <row r="12" spans="1:5" ht="28" x14ac:dyDescent="0.2">
      <c r="A12" s="2" t="s">
        <v>242</v>
      </c>
      <c r="B12" s="2" t="s">
        <v>243</v>
      </c>
      <c r="C12" s="2" t="s">
        <v>244</v>
      </c>
      <c r="D12" s="2" t="s">
        <v>216</v>
      </c>
      <c r="E12" s="2" t="s">
        <v>245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Unicorn Tracker</vt:lpstr>
      <vt:lpstr>Search Methodology</vt:lpstr>
      <vt:lpstr>Outreach Scripts</vt:lpstr>
      <vt:lpstr>Comment Mining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Gabriela Fajardo</cp:lastModifiedBy>
  <cp:revision>0</cp:revision>
  <dcterms:created xsi:type="dcterms:W3CDTF">2026-03-05T20:54:35Z</dcterms:created>
  <dcterms:modified xsi:type="dcterms:W3CDTF">2026-03-05T21:05:28Z</dcterms:modified>
  <dc:language>en-US</dc:language>
</cp:coreProperties>
</file>